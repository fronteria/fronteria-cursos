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Embarques" sheetId="2" state="visible" r:id="rId4"/>
    <sheet name="Tarifas" sheetId="3" state="visible" r:id="rId5"/>
    <sheet name="Resum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<sst xmlns="http://schemas.openxmlformats.org/spreadsheetml/2006/main" count="283" uniqueCount="75">
  <si>
    <t xml:space="preserve">Ejercicio 7: Fletes y embarques</t>
  </si>
  <si>
    <t xml:space="preserve">CLAVE DEL INSTRUCTOR. Este es el archivo 01 con las fórmulas ya puestas. No se entrega a los asistentes.</t>
  </si>
  <si>
    <t xml:space="preserve">N° Embarque</t>
  </si>
  <si>
    <t xml:space="preserve">Fecha</t>
  </si>
  <si>
    <t xml:space="preserve">Cliente</t>
  </si>
  <si>
    <t xml:space="preserve">Origen</t>
  </si>
  <si>
    <t xml:space="preserve">Destino</t>
  </si>
  <si>
    <t xml:space="preserve">Incoterm</t>
  </si>
  <si>
    <t xml:space="preserve">Contenedor</t>
  </si>
  <si>
    <t xml:space="preserve">Flete USD</t>
  </si>
  <si>
    <t xml:space="preserve">Seguro USD</t>
  </si>
  <si>
    <t xml:space="preserve">Otros gastos USD</t>
  </si>
  <si>
    <t xml:space="preserve">Total USD</t>
  </si>
  <si>
    <t xml:space="preserve">Estado</t>
  </si>
  <si>
    <t xml:space="preserve">Días de retraso</t>
  </si>
  <si>
    <t xml:space="preserve">Tarifa de lista USD</t>
  </si>
  <si>
    <t xml:space="preserve">Alerta</t>
  </si>
  <si>
    <t xml:space="preserve">ACL-2026-001</t>
  </si>
  <si>
    <t xml:space="preserve">Importadora Cordillera S.A.S.</t>
  </si>
  <si>
    <t xml:space="preserve">Barranquilla</t>
  </si>
  <si>
    <t xml:space="preserve">Miami</t>
  </si>
  <si>
    <t xml:space="preserve">DAP</t>
  </si>
  <si>
    <t xml:space="preserve">40 pies</t>
  </si>
  <si>
    <t xml:space="preserve">Entregado</t>
  </si>
  <si>
    <t xml:space="preserve">ACL-2026-002</t>
  </si>
  <si>
    <t xml:space="preserve">Muebles Altamira S.A.S.</t>
  </si>
  <si>
    <t xml:space="preserve">Cartagena</t>
  </si>
  <si>
    <t xml:space="preserve">Rotterdam</t>
  </si>
  <si>
    <t xml:space="preserve">CIF</t>
  </si>
  <si>
    <t xml:space="preserve">20 pies</t>
  </si>
  <si>
    <t xml:space="preserve">ACL-2026-003</t>
  </si>
  <si>
    <t xml:space="preserve">Buenaventura</t>
  </si>
  <si>
    <t xml:space="preserve">Shanghái</t>
  </si>
  <si>
    <t xml:space="preserve">FCA</t>
  </si>
  <si>
    <t xml:space="preserve">En tránsito</t>
  </si>
  <si>
    <t xml:space="preserve">ACL-2026-004</t>
  </si>
  <si>
    <t xml:space="preserve">Café Selecto de Nariño Ltda.</t>
  </si>
  <si>
    <t xml:space="preserve">Callao</t>
  </si>
  <si>
    <t xml:space="preserve">ACL-2026-005</t>
  </si>
  <si>
    <t xml:space="preserve">Agroexport Valle S.A.S.</t>
  </si>
  <si>
    <t xml:space="preserve">Hamburgo</t>
  </si>
  <si>
    <t xml:space="preserve">FOB</t>
  </si>
  <si>
    <t xml:space="preserve">ACL-2026-006</t>
  </si>
  <si>
    <t xml:space="preserve">Plásticos Andinos S.A.</t>
  </si>
  <si>
    <t xml:space="preserve">ACL-2026-007</t>
  </si>
  <si>
    <t xml:space="preserve">ACL-2026-008</t>
  </si>
  <si>
    <t xml:space="preserve">Retrasado</t>
  </si>
  <si>
    <t xml:space="preserve">ACL-2026-009</t>
  </si>
  <si>
    <t xml:space="preserve">EXW</t>
  </si>
  <si>
    <t xml:space="preserve">ACL-2026-010</t>
  </si>
  <si>
    <t xml:space="preserve">ACL-2026-011</t>
  </si>
  <si>
    <t xml:space="preserve">ACL-2026-012</t>
  </si>
  <si>
    <t xml:space="preserve">ACL-2026-013</t>
  </si>
  <si>
    <t xml:space="preserve">ACL-2026-014</t>
  </si>
  <si>
    <t xml:space="preserve">ACL-2026-015</t>
  </si>
  <si>
    <t xml:space="preserve">ACL-2026-016</t>
  </si>
  <si>
    <t xml:space="preserve">ACL-2026-017</t>
  </si>
  <si>
    <t xml:space="preserve">ACL-2026-018</t>
  </si>
  <si>
    <t xml:space="preserve">ACL-2026-019</t>
  </si>
  <si>
    <t xml:space="preserve">ACL-2026-020</t>
  </si>
  <si>
    <t xml:space="preserve">ACL-2026-021</t>
  </si>
  <si>
    <t xml:space="preserve">ACL-2026-022</t>
  </si>
  <si>
    <t xml:space="preserve">Valencia</t>
  </si>
  <si>
    <t xml:space="preserve">ACL-2026-023</t>
  </si>
  <si>
    <t xml:space="preserve">ACL-2026-024</t>
  </si>
  <si>
    <t xml:space="preserve">ACL-2026-025</t>
  </si>
  <si>
    <t xml:space="preserve">ACL-2026-026</t>
  </si>
  <si>
    <t xml:space="preserve">ACL-2026-027</t>
  </si>
  <si>
    <t xml:space="preserve">ACL-2026-028</t>
  </si>
  <si>
    <t xml:space="preserve">ACL-2026-029</t>
  </si>
  <si>
    <t xml:space="preserve">ACL-2026-030</t>
  </si>
  <si>
    <t xml:space="preserve">Textiles del Pacífico S.A.S.</t>
  </si>
  <si>
    <t xml:space="preserve">Total flete USD</t>
  </si>
  <si>
    <t xml:space="preserve">N° de embarques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</si>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</sst>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5" min="4" style="0" width="1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10"/>
  </cols>
  <sheetData>
    <row r="1" customFormat="false" ht="31.5" hidden="false" customHeight="true" outlineLevel="0" collapsed="false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</row>
    <row r="2" customFormat="false" ht="15" hidden="false" customHeight="false" outlineLevel="0" collapsed="false">
      <c r="A2" s="4" t="s">
        <v>17</v>
      </c>
      <c r="B2" s="5" t="n">
        <v>46208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6" t="n">
        <v>1790</v>
      </c>
      <c r="I2" s="6" t="n">
        <v>8</v>
      </c>
      <c r="J2" s="6" t="n">
        <v>220</v>
      </c>
      <c r="K2" s="7" t="n">
        <f aca="false">H2+I2+J2</f>
        <v>2018</v>
      </c>
      <c r="L2" s="4" t="s">
        <v>23</v>
      </c>
      <c r="M2" s="4" t="n">
        <v>0</v>
      </c>
      <c r="N2" s="7" t="n">
        <f aca="false">SUMIFS(Tarifas!$D$2:$D$15,Tarifas!$A$2:$A$15,D2,Tarifas!$B$2:$B$15,E2,Tarifas!$C$2:$C$15,G2)</f>
        <v>1750</v>
      </c>
      <c r="O2" s="8" t="str">
        <f aca="false">IF(M2&gt;3,"REVISAR","OK")</f>
        <v>OK</v>
      </c>
    </row>
    <row r="3" customFormat="false" ht="15" hidden="false" customHeight="false" outlineLevel="0" collapsed="false">
      <c r="A3" s="4" t="s">
        <v>24</v>
      </c>
      <c r="B3" s="5" t="n">
        <v>46210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6" t="n">
        <v>1810</v>
      </c>
      <c r="I3" s="6" t="n">
        <v>11</v>
      </c>
      <c r="J3" s="6" t="n">
        <v>190</v>
      </c>
      <c r="K3" s="7" t="n">
        <f aca="false">H3+I3+J3</f>
        <v>2011</v>
      </c>
      <c r="L3" s="4" t="s">
        <v>23</v>
      </c>
      <c r="M3" s="4" t="n">
        <v>2</v>
      </c>
      <c r="N3" s="7" t="n">
        <f aca="false">SUMIFS(Tarifas!$D$2:$D$15,Tarifas!$A$2:$A$15,D3,Tarifas!$B$2:$B$15,E3,Tarifas!$C$2:$C$15,G3)</f>
        <v>1780</v>
      </c>
      <c r="O3" s="8" t="str">
        <f aca="false">IF(M3&gt;3,"REVISAR","OK")</f>
        <v>OK</v>
      </c>
    </row>
    <row r="4" customFormat="false" ht="15" hidden="false" customHeight="false" outlineLevel="0" collapsed="false">
      <c r="A4" s="4" t="s">
        <v>30</v>
      </c>
      <c r="B4" s="5" t="n">
        <v>46211</v>
      </c>
      <c r="C4" s="4" t="s">
        <v>25</v>
      </c>
      <c r="D4" s="4" t="s">
        <v>31</v>
      </c>
      <c r="E4" s="4" t="s">
        <v>32</v>
      </c>
      <c r="F4" s="4" t="s">
        <v>33</v>
      </c>
      <c r="G4" s="4" t="s">
        <v>22</v>
      </c>
      <c r="H4" s="6" t="n">
        <v>3420</v>
      </c>
      <c r="I4" s="6" t="n">
        <v>23</v>
      </c>
      <c r="J4" s="6" t="n">
        <v>110</v>
      </c>
      <c r="K4" s="7" t="n">
        <f aca="false">H4+I4+J4</f>
        <v>3553</v>
      </c>
      <c r="L4" s="4" t="s">
        <v>34</v>
      </c>
      <c r="M4" s="4" t="n">
        <v>2</v>
      </c>
      <c r="N4" s="7" t="n">
        <f aca="false">SUMIFS(Tarifas!$D$2:$D$15,Tarifas!$A$2:$A$15,D4,Tarifas!$B$2:$B$15,E4,Tarifas!$C$2:$C$15,G4)</f>
        <v>3650</v>
      </c>
      <c r="O4" s="8" t="str">
        <f aca="false">IF(M4&gt;3,"REVISAR","OK")</f>
        <v>OK</v>
      </c>
    </row>
    <row r="5" customFormat="false" ht="15" hidden="false" customHeight="false" outlineLevel="0" collapsed="false">
      <c r="A5" s="4" t="s">
        <v>35</v>
      </c>
      <c r="B5" s="5" t="n">
        <v>46211</v>
      </c>
      <c r="C5" s="4" t="s">
        <v>36</v>
      </c>
      <c r="D5" s="4" t="s">
        <v>31</v>
      </c>
      <c r="E5" s="4" t="s">
        <v>37</v>
      </c>
      <c r="F5" s="4" t="s">
        <v>28</v>
      </c>
      <c r="G5" s="4" t="s">
        <v>29</v>
      </c>
      <c r="H5" s="6" t="n">
        <v>1010</v>
      </c>
      <c r="I5" s="6" t="n">
        <v>6</v>
      </c>
      <c r="J5" s="6" t="n">
        <v>370</v>
      </c>
      <c r="K5" s="7" t="n">
        <f aca="false">H5+I5+J5</f>
        <v>1386</v>
      </c>
      <c r="L5" s="4" t="s">
        <v>23</v>
      </c>
      <c r="M5" s="4" t="n">
        <v>0</v>
      </c>
      <c r="N5" s="7" t="n">
        <f aca="false">SUMIFS(Tarifas!$D$2:$D$15,Tarifas!$A$2:$A$15,D5,Tarifas!$B$2:$B$15,E5,Tarifas!$C$2:$C$15,G5)</f>
        <v>950</v>
      </c>
      <c r="O5" s="8" t="str">
        <f aca="false">IF(M5&gt;3,"REVISAR","OK")</f>
        <v>OK</v>
      </c>
    </row>
    <row r="6" customFormat="false" ht="15" hidden="false" customHeight="false" outlineLevel="0" collapsed="false">
      <c r="A6" s="4" t="s">
        <v>38</v>
      </c>
      <c r="B6" s="5" t="n">
        <v>46211</v>
      </c>
      <c r="C6" s="4" t="s">
        <v>39</v>
      </c>
      <c r="D6" s="4" t="s">
        <v>26</v>
      </c>
      <c r="E6" s="4" t="s">
        <v>40</v>
      </c>
      <c r="F6" s="4" t="s">
        <v>41</v>
      </c>
      <c r="G6" s="4" t="s">
        <v>22</v>
      </c>
      <c r="H6" s="6" t="n">
        <v>2970</v>
      </c>
      <c r="I6" s="6" t="n">
        <v>18</v>
      </c>
      <c r="J6" s="6" t="n">
        <v>290</v>
      </c>
      <c r="K6" s="7" t="n">
        <f aca="false">H6+I6+J6</f>
        <v>3278</v>
      </c>
      <c r="L6" s="4" t="s">
        <v>34</v>
      </c>
      <c r="M6" s="4" t="n">
        <v>1</v>
      </c>
      <c r="N6" s="7" t="n">
        <f aca="false">SUMIFS(Tarifas!$D$2:$D$15,Tarifas!$A$2:$A$15,D6,Tarifas!$B$2:$B$15,E6,Tarifas!$C$2:$C$15,G6)</f>
        <v>2900</v>
      </c>
      <c r="O6" s="8" t="str">
        <f aca="false">IF(M6&gt;3,"REVISAR","OK")</f>
        <v>OK</v>
      </c>
    </row>
    <row r="7" customFormat="false" ht="15" hidden="false" customHeight="false" outlineLevel="0" collapsed="false">
      <c r="A7" s="4" t="s">
        <v>42</v>
      </c>
      <c r="B7" s="5" t="n">
        <v>46212</v>
      </c>
      <c r="C7" s="4" t="s">
        <v>43</v>
      </c>
      <c r="D7" s="4" t="s">
        <v>26</v>
      </c>
      <c r="E7" s="4" t="s">
        <v>40</v>
      </c>
      <c r="F7" s="4" t="s">
        <v>41</v>
      </c>
      <c r="G7" s="4" t="s">
        <v>22</v>
      </c>
      <c r="H7" s="6" t="n">
        <v>2940</v>
      </c>
      <c r="I7" s="6" t="n">
        <v>14</v>
      </c>
      <c r="J7" s="6" t="n">
        <v>290</v>
      </c>
      <c r="K7" s="7" t="n">
        <f aca="false">H7+I7+J7</f>
        <v>3244</v>
      </c>
      <c r="L7" s="4" t="s">
        <v>23</v>
      </c>
      <c r="M7" s="4" t="n">
        <v>1</v>
      </c>
      <c r="N7" s="7" t="n">
        <f aca="false">SUMIFS(Tarifas!$D$2:$D$15,Tarifas!$A$2:$A$15,D7,Tarifas!$B$2:$B$15,E7,Tarifas!$C$2:$C$15,G7)</f>
        <v>2900</v>
      </c>
      <c r="O7" s="8" t="str">
        <f aca="false">IF(M7&gt;3,"REVISAR","OK")</f>
        <v>OK</v>
      </c>
    </row>
    <row r="8" customFormat="false" ht="15" hidden="false" customHeight="false" outlineLevel="0" collapsed="false">
      <c r="A8" s="4" t="s">
        <v>44</v>
      </c>
      <c r="B8" s="5" t="n">
        <v>46213</v>
      </c>
      <c r="C8" s="4" t="s">
        <v>39</v>
      </c>
      <c r="D8" s="4" t="s">
        <v>32</v>
      </c>
      <c r="E8" s="4" t="s">
        <v>31</v>
      </c>
      <c r="F8" s="4" t="s">
        <v>21</v>
      </c>
      <c r="G8" s="4" t="s">
        <v>29</v>
      </c>
      <c r="H8" s="6" t="n">
        <v>1350</v>
      </c>
      <c r="I8" s="6" t="n">
        <v>8</v>
      </c>
      <c r="J8" s="6" t="n">
        <v>280</v>
      </c>
      <c r="K8" s="7" t="n">
        <f aca="false">H8+I8+J8</f>
        <v>1638</v>
      </c>
      <c r="L8" s="4" t="s">
        <v>23</v>
      </c>
      <c r="M8" s="4" t="n">
        <v>0</v>
      </c>
      <c r="N8" s="7" t="n">
        <f aca="false">SUMIFS(Tarifas!$D$2:$D$15,Tarifas!$A$2:$A$15,D8,Tarifas!$B$2:$B$15,E8,Tarifas!$C$2:$C$15,G8)</f>
        <v>1450</v>
      </c>
      <c r="O8" s="8" t="str">
        <f aca="false">IF(M8&gt;3,"REVISAR","OK")</f>
        <v>OK</v>
      </c>
    </row>
    <row r="9" customFormat="false" ht="15" hidden="false" customHeight="false" outlineLevel="0" collapsed="false">
      <c r="A9" s="4" t="s">
        <v>45</v>
      </c>
      <c r="B9" s="5" t="n">
        <v>46215</v>
      </c>
      <c r="C9" s="4" t="s">
        <v>25</v>
      </c>
      <c r="D9" s="4" t="s">
        <v>19</v>
      </c>
      <c r="E9" s="4" t="s">
        <v>20</v>
      </c>
      <c r="F9" s="4" t="s">
        <v>41</v>
      </c>
      <c r="G9" s="4" t="s">
        <v>22</v>
      </c>
      <c r="H9" s="6" t="n">
        <v>1860</v>
      </c>
      <c r="I9" s="6" t="n">
        <v>8</v>
      </c>
      <c r="J9" s="6" t="n">
        <v>130</v>
      </c>
      <c r="K9" s="7" t="n">
        <f aca="false">H9+I9+J9</f>
        <v>1998</v>
      </c>
      <c r="L9" s="4" t="s">
        <v>46</v>
      </c>
      <c r="M9" s="4" t="n">
        <v>7</v>
      </c>
      <c r="N9" s="7" t="n">
        <f aca="false">SUMIFS(Tarifas!$D$2:$D$15,Tarifas!$A$2:$A$15,D9,Tarifas!$B$2:$B$15,E9,Tarifas!$C$2:$C$15,G9)</f>
        <v>1750</v>
      </c>
      <c r="O9" s="8" t="str">
        <f aca="false">IF(M9&gt;3,"REVISAR","OK")</f>
        <v>REVISAR</v>
      </c>
    </row>
    <row r="10" customFormat="false" ht="15" hidden="false" customHeight="false" outlineLevel="0" collapsed="false">
      <c r="A10" s="4" t="s">
        <v>47</v>
      </c>
      <c r="B10" s="5" t="n">
        <v>46215</v>
      </c>
      <c r="C10" s="4" t="s">
        <v>25</v>
      </c>
      <c r="D10" s="4" t="s">
        <v>26</v>
      </c>
      <c r="E10" s="4" t="s">
        <v>40</v>
      </c>
      <c r="F10" s="4" t="s">
        <v>48</v>
      </c>
      <c r="G10" s="4" t="s">
        <v>29</v>
      </c>
      <c r="H10" s="6" t="n">
        <v>1950</v>
      </c>
      <c r="I10" s="6" t="n">
        <v>10</v>
      </c>
      <c r="J10" s="6" t="n">
        <v>360</v>
      </c>
      <c r="K10" s="7" t="n">
        <f aca="false">H10+I10+J10</f>
        <v>2320</v>
      </c>
      <c r="L10" s="4" t="s">
        <v>23</v>
      </c>
      <c r="M10" s="4" t="n">
        <v>1</v>
      </c>
      <c r="N10" s="7" t="n">
        <f aca="false">SUMIFS(Tarifas!$D$2:$D$15,Tarifas!$A$2:$A$15,D10,Tarifas!$B$2:$B$15,E10,Tarifas!$C$2:$C$15,G10)</f>
        <v>1850</v>
      </c>
      <c r="O10" s="8" t="str">
        <f aca="false">IF(M10&gt;3,"REVISAR","OK")</f>
        <v>OK</v>
      </c>
    </row>
    <row r="11" customFormat="false" ht="15" hidden="false" customHeight="false" outlineLevel="0" collapsed="false">
      <c r="A11" s="4" t="s">
        <v>49</v>
      </c>
      <c r="B11" s="5" t="n">
        <v>46216</v>
      </c>
      <c r="C11" s="4" t="s">
        <v>18</v>
      </c>
      <c r="D11" s="4" t="s">
        <v>26</v>
      </c>
      <c r="E11" s="4" t="s">
        <v>40</v>
      </c>
      <c r="F11" s="4" t="s">
        <v>28</v>
      </c>
      <c r="G11" s="4" t="s">
        <v>29</v>
      </c>
      <c r="H11" s="6" t="n">
        <v>2020</v>
      </c>
      <c r="I11" s="6" t="n">
        <v>11</v>
      </c>
      <c r="J11" s="6" t="n">
        <v>150</v>
      </c>
      <c r="K11" s="7" t="n">
        <f aca="false">H11+I11+J11</f>
        <v>2181</v>
      </c>
      <c r="L11" s="4" t="s">
        <v>23</v>
      </c>
      <c r="M11" s="4" t="n">
        <v>0</v>
      </c>
      <c r="N11" s="7" t="n">
        <f aca="false">SUMIFS(Tarifas!$D$2:$D$15,Tarifas!$A$2:$A$15,D11,Tarifas!$B$2:$B$15,E11,Tarifas!$C$2:$C$15,G11)</f>
        <v>1850</v>
      </c>
      <c r="O11" s="8" t="str">
        <f aca="false">IF(M11&gt;3,"REVISAR","OK")</f>
        <v>OK</v>
      </c>
    </row>
    <row r="12" customFormat="false" ht="15" hidden="false" customHeight="false" outlineLevel="0" collapsed="false">
      <c r="A12" s="4" t="s">
        <v>50</v>
      </c>
      <c r="B12" s="5" t="n">
        <v>46219</v>
      </c>
      <c r="C12" s="4" t="s">
        <v>43</v>
      </c>
      <c r="D12" s="4" t="s">
        <v>32</v>
      </c>
      <c r="E12" s="4" t="s">
        <v>31</v>
      </c>
      <c r="F12" s="4" t="s">
        <v>33</v>
      </c>
      <c r="G12" s="4" t="s">
        <v>22</v>
      </c>
      <c r="H12" s="6" t="n">
        <v>2270</v>
      </c>
      <c r="I12" s="6" t="n">
        <v>13</v>
      </c>
      <c r="J12" s="6" t="n">
        <v>390</v>
      </c>
      <c r="K12" s="7" t="n">
        <f aca="false">H12+I12+J12</f>
        <v>2673</v>
      </c>
      <c r="L12" s="4" t="s">
        <v>23</v>
      </c>
      <c r="M12" s="4" t="n">
        <v>1</v>
      </c>
      <c r="N12" s="7" t="n">
        <f aca="false">SUMIFS(Tarifas!$D$2:$D$15,Tarifas!$A$2:$A$15,D12,Tarifas!$B$2:$B$15,E12,Tarifas!$C$2:$C$15,G12)</f>
        <v>2350</v>
      </c>
      <c r="O12" s="8" t="str">
        <f aca="false">IF(M12&gt;3,"REVISAR","OK")</f>
        <v>OK</v>
      </c>
    </row>
    <row r="13" customFormat="false" ht="15" hidden="false" customHeight="false" outlineLevel="0" collapsed="false">
      <c r="A13" s="4" t="s">
        <v>51</v>
      </c>
      <c r="B13" s="5" t="n">
        <v>46223</v>
      </c>
      <c r="C13" s="4" t="s">
        <v>25</v>
      </c>
      <c r="D13" s="4" t="s">
        <v>31</v>
      </c>
      <c r="E13" s="4" t="s">
        <v>32</v>
      </c>
      <c r="F13" s="4" t="s">
        <v>21</v>
      </c>
      <c r="G13" s="4" t="s">
        <v>29</v>
      </c>
      <c r="H13" s="6" t="n">
        <v>2480</v>
      </c>
      <c r="I13" s="6" t="n">
        <v>18</v>
      </c>
      <c r="J13" s="6" t="n">
        <v>250</v>
      </c>
      <c r="K13" s="7" t="n">
        <f aca="false">H13+I13+J13</f>
        <v>2748</v>
      </c>
      <c r="L13" s="4" t="s">
        <v>34</v>
      </c>
      <c r="M13" s="4" t="n">
        <v>1</v>
      </c>
      <c r="N13" s="7" t="n">
        <f aca="false">SUMIFS(Tarifas!$D$2:$D$15,Tarifas!$A$2:$A$15,D13,Tarifas!$B$2:$B$15,E13,Tarifas!$C$2:$C$15,G13)</f>
        <v>2300</v>
      </c>
      <c r="O13" s="8" t="str">
        <f aca="false">IF(M13&gt;3,"REVISAR","OK")</f>
        <v>OK</v>
      </c>
    </row>
    <row r="14" customFormat="false" ht="15" hidden="false" customHeight="false" outlineLevel="0" collapsed="false">
      <c r="A14" s="4" t="s">
        <v>52</v>
      </c>
      <c r="B14" s="5" t="n">
        <v>46231</v>
      </c>
      <c r="C14" s="4" t="s">
        <v>43</v>
      </c>
      <c r="D14" s="4" t="s">
        <v>26</v>
      </c>
      <c r="E14" s="4" t="s">
        <v>27</v>
      </c>
      <c r="F14" s="4" t="s">
        <v>33</v>
      </c>
      <c r="G14" s="4" t="s">
        <v>22</v>
      </c>
      <c r="H14" s="6" t="n">
        <v>2600</v>
      </c>
      <c r="I14" s="6" t="n">
        <v>12</v>
      </c>
      <c r="J14" s="6" t="n">
        <v>220</v>
      </c>
      <c r="K14" s="7" t="n">
        <f aca="false">H14+I14+J14</f>
        <v>2832</v>
      </c>
      <c r="L14" s="4" t="s">
        <v>34</v>
      </c>
      <c r="M14" s="4" t="n">
        <v>0</v>
      </c>
      <c r="N14" s="7" t="n">
        <f aca="false">SUMIFS(Tarifas!$D$2:$D$15,Tarifas!$A$2:$A$15,D14,Tarifas!$B$2:$B$15,E14,Tarifas!$C$2:$C$15,G14)</f>
        <v>2750</v>
      </c>
      <c r="O14" s="8" t="str">
        <f aca="false">IF(M14&gt;3,"REVISAR","OK")</f>
        <v>OK</v>
      </c>
    </row>
    <row r="15" customFormat="false" ht="15" hidden="false" customHeight="false" outlineLevel="0" collapsed="false">
      <c r="A15" s="4" t="s">
        <v>53</v>
      </c>
      <c r="B15" s="5" t="n">
        <v>46232</v>
      </c>
      <c r="C15" s="4" t="s">
        <v>39</v>
      </c>
      <c r="D15" s="4" t="s">
        <v>26</v>
      </c>
      <c r="E15" s="4" t="s">
        <v>27</v>
      </c>
      <c r="F15" s="4" t="s">
        <v>48</v>
      </c>
      <c r="G15" s="4" t="s">
        <v>29</v>
      </c>
      <c r="H15" s="6" t="n">
        <v>1720</v>
      </c>
      <c r="I15" s="6" t="n">
        <v>7</v>
      </c>
      <c r="J15" s="6" t="n">
        <v>340</v>
      </c>
      <c r="K15" s="7" t="n">
        <f aca="false">H15+I15+J15</f>
        <v>2067</v>
      </c>
      <c r="L15" s="4" t="s">
        <v>23</v>
      </c>
      <c r="M15" s="4" t="n">
        <v>2</v>
      </c>
      <c r="N15" s="7" t="n">
        <f aca="false">SUMIFS(Tarifas!$D$2:$D$15,Tarifas!$A$2:$A$15,D15,Tarifas!$B$2:$B$15,E15,Tarifas!$C$2:$C$15,G15)</f>
        <v>1780</v>
      </c>
      <c r="O15" s="8" t="str">
        <f aca="false">IF(M15&gt;3,"REVISAR","OK")</f>
        <v>OK</v>
      </c>
    </row>
    <row r="16" customFormat="false" ht="15" hidden="false" customHeight="false" outlineLevel="0" collapsed="false">
      <c r="A16" s="4" t="s">
        <v>54</v>
      </c>
      <c r="B16" s="5" t="n">
        <v>46234</v>
      </c>
      <c r="C16" s="4" t="s">
        <v>39</v>
      </c>
      <c r="D16" s="4" t="s">
        <v>26</v>
      </c>
      <c r="E16" s="4" t="s">
        <v>27</v>
      </c>
      <c r="F16" s="4" t="s">
        <v>21</v>
      </c>
      <c r="G16" s="4" t="s">
        <v>29</v>
      </c>
      <c r="H16" s="6" t="n">
        <v>1860</v>
      </c>
      <c r="I16" s="6" t="n">
        <v>11</v>
      </c>
      <c r="J16" s="6" t="n">
        <v>110</v>
      </c>
      <c r="K16" s="7" t="n">
        <f aca="false">H16+I16+J16</f>
        <v>1981</v>
      </c>
      <c r="L16" s="4" t="s">
        <v>23</v>
      </c>
      <c r="M16" s="4" t="n">
        <v>4</v>
      </c>
      <c r="N16" s="7" t="n">
        <f aca="false">SUMIFS(Tarifas!$D$2:$D$15,Tarifas!$A$2:$A$15,D16,Tarifas!$B$2:$B$15,E16,Tarifas!$C$2:$C$15,G16)</f>
        <v>1780</v>
      </c>
      <c r="O16" s="8" t="str">
        <f aca="false">IF(M16&gt;3,"REVISAR","OK")</f>
        <v>REVISAR</v>
      </c>
    </row>
    <row r="17" customFormat="false" ht="15" hidden="false" customHeight="false" outlineLevel="0" collapsed="false">
      <c r="A17" s="4" t="s">
        <v>55</v>
      </c>
      <c r="B17" s="5" t="n">
        <v>46245</v>
      </c>
      <c r="C17" s="4" t="s">
        <v>36</v>
      </c>
      <c r="D17" s="4" t="s">
        <v>31</v>
      </c>
      <c r="E17" s="4" t="s">
        <v>37</v>
      </c>
      <c r="F17" s="4" t="s">
        <v>21</v>
      </c>
      <c r="G17" s="4" t="s">
        <v>29</v>
      </c>
      <c r="H17" s="6" t="n">
        <v>940</v>
      </c>
      <c r="I17" s="6" t="n">
        <v>4</v>
      </c>
      <c r="J17" s="6" t="n">
        <v>330</v>
      </c>
      <c r="K17" s="7" t="n">
        <f aca="false">H17+I17+J17</f>
        <v>1274</v>
      </c>
      <c r="L17" s="4" t="s">
        <v>23</v>
      </c>
      <c r="M17" s="4" t="n">
        <v>0</v>
      </c>
      <c r="N17" s="7" t="n">
        <f aca="false">SUMIFS(Tarifas!$D$2:$D$15,Tarifas!$A$2:$A$15,D17,Tarifas!$B$2:$B$15,E17,Tarifas!$C$2:$C$15,G17)</f>
        <v>950</v>
      </c>
      <c r="O17" s="8" t="str">
        <f aca="false">IF(M17&gt;3,"REVISAR","OK")</f>
        <v>OK</v>
      </c>
    </row>
    <row r="18" customFormat="false" ht="15" hidden="false" customHeight="false" outlineLevel="0" collapsed="false">
      <c r="A18" s="4" t="s">
        <v>56</v>
      </c>
      <c r="B18" s="5" t="n">
        <v>46250</v>
      </c>
      <c r="C18" s="4" t="s">
        <v>39</v>
      </c>
      <c r="D18" s="4" t="s">
        <v>26</v>
      </c>
      <c r="E18" s="4" t="s">
        <v>27</v>
      </c>
      <c r="F18" s="4" t="s">
        <v>41</v>
      </c>
      <c r="G18" s="4" t="s">
        <v>29</v>
      </c>
      <c r="H18" s="6" t="n">
        <v>1670</v>
      </c>
      <c r="I18" s="6" t="n">
        <v>11</v>
      </c>
      <c r="J18" s="6" t="n">
        <v>140</v>
      </c>
      <c r="K18" s="7" t="n">
        <f aca="false">H18+I18+J18</f>
        <v>1821</v>
      </c>
      <c r="L18" s="4" t="s">
        <v>23</v>
      </c>
      <c r="M18" s="4" t="n">
        <v>0</v>
      </c>
      <c r="N18" s="7" t="n">
        <f aca="false">SUMIFS(Tarifas!$D$2:$D$15,Tarifas!$A$2:$A$15,D18,Tarifas!$B$2:$B$15,E18,Tarifas!$C$2:$C$15,G18)</f>
        <v>1780</v>
      </c>
      <c r="O18" s="8" t="str">
        <f aca="false">IF(M18&gt;3,"REVISAR","OK")</f>
        <v>OK</v>
      </c>
    </row>
    <row r="19" customFormat="false" ht="15" hidden="false" customHeight="false" outlineLevel="0" collapsed="false">
      <c r="A19" s="4" t="s">
        <v>57</v>
      </c>
      <c r="B19" s="5" t="n">
        <v>46254</v>
      </c>
      <c r="C19" s="4" t="s">
        <v>25</v>
      </c>
      <c r="D19" s="4" t="s">
        <v>31</v>
      </c>
      <c r="E19" s="4" t="s">
        <v>32</v>
      </c>
      <c r="F19" s="4" t="s">
        <v>48</v>
      </c>
      <c r="G19" s="4" t="s">
        <v>22</v>
      </c>
      <c r="H19" s="6" t="n">
        <v>3760</v>
      </c>
      <c r="I19" s="6" t="n">
        <v>16</v>
      </c>
      <c r="J19" s="6" t="n">
        <v>210</v>
      </c>
      <c r="K19" s="7" t="n">
        <f aca="false">H19+I19+J19</f>
        <v>3986</v>
      </c>
      <c r="L19" s="4" t="s">
        <v>34</v>
      </c>
      <c r="M19" s="4" t="n">
        <v>0</v>
      </c>
      <c r="N19" s="7" t="n">
        <f aca="false">SUMIFS(Tarifas!$D$2:$D$15,Tarifas!$A$2:$A$15,D19,Tarifas!$B$2:$B$15,E19,Tarifas!$C$2:$C$15,G19)</f>
        <v>3650</v>
      </c>
      <c r="O19" s="8" t="str">
        <f aca="false">IF(M19&gt;3,"REVISAR","OK")</f>
        <v>OK</v>
      </c>
    </row>
    <row r="20" customFormat="false" ht="15" hidden="false" customHeight="false" outlineLevel="0" collapsed="false">
      <c r="A20" s="4" t="s">
        <v>58</v>
      </c>
      <c r="B20" s="5" t="n">
        <v>46257</v>
      </c>
      <c r="C20" s="4" t="s">
        <v>43</v>
      </c>
      <c r="D20" s="4" t="s">
        <v>31</v>
      </c>
      <c r="E20" s="4" t="s">
        <v>32</v>
      </c>
      <c r="F20" s="4" t="s">
        <v>21</v>
      </c>
      <c r="G20" s="4" t="s">
        <v>22</v>
      </c>
      <c r="H20" s="6" t="n">
        <v>3750</v>
      </c>
      <c r="I20" s="6" t="n">
        <v>22</v>
      </c>
      <c r="J20" s="6" t="n">
        <v>150</v>
      </c>
      <c r="K20" s="7" t="n">
        <f aca="false">H20+I20+J20</f>
        <v>3922</v>
      </c>
      <c r="L20" s="4" t="s">
        <v>46</v>
      </c>
      <c r="M20" s="4" t="n">
        <v>7</v>
      </c>
      <c r="N20" s="7" t="n">
        <f aca="false">SUMIFS(Tarifas!$D$2:$D$15,Tarifas!$A$2:$A$15,D20,Tarifas!$B$2:$B$15,E20,Tarifas!$C$2:$C$15,G20)</f>
        <v>3650</v>
      </c>
      <c r="O20" s="8" t="str">
        <f aca="false">IF(M20&gt;3,"REVISAR","OK")</f>
        <v>REVISAR</v>
      </c>
    </row>
    <row r="21" customFormat="false" ht="15" hidden="false" customHeight="false" outlineLevel="0" collapsed="false">
      <c r="A21" s="4" t="s">
        <v>59</v>
      </c>
      <c r="B21" s="5" t="n">
        <v>46258</v>
      </c>
      <c r="C21" s="4" t="s">
        <v>25</v>
      </c>
      <c r="D21" s="4" t="s">
        <v>31</v>
      </c>
      <c r="E21" s="4" t="s">
        <v>32</v>
      </c>
      <c r="F21" s="4" t="s">
        <v>28</v>
      </c>
      <c r="G21" s="4" t="s">
        <v>29</v>
      </c>
      <c r="H21" s="6" t="n">
        <v>2150</v>
      </c>
      <c r="I21" s="6" t="n">
        <v>9</v>
      </c>
      <c r="J21" s="6" t="n">
        <v>290</v>
      </c>
      <c r="K21" s="7" t="n">
        <f aca="false">H21+I21+J21</f>
        <v>2449</v>
      </c>
      <c r="L21" s="4" t="s">
        <v>34</v>
      </c>
      <c r="M21" s="4" t="n">
        <v>2</v>
      </c>
      <c r="N21" s="7" t="n">
        <f aca="false">SUMIFS(Tarifas!$D$2:$D$15,Tarifas!$A$2:$A$15,D21,Tarifas!$B$2:$B$15,E21,Tarifas!$C$2:$C$15,G21)</f>
        <v>2300</v>
      </c>
      <c r="O21" s="8" t="str">
        <f aca="false">IF(M21&gt;3,"REVISAR","OK")</f>
        <v>OK</v>
      </c>
    </row>
    <row r="22" customFormat="false" ht="15" hidden="false" customHeight="false" outlineLevel="0" collapsed="false">
      <c r="A22" s="4" t="s">
        <v>60</v>
      </c>
      <c r="B22" s="5" t="n">
        <v>46259</v>
      </c>
      <c r="C22" s="4" t="s">
        <v>39</v>
      </c>
      <c r="D22" s="4" t="s">
        <v>19</v>
      </c>
      <c r="E22" s="4" t="s">
        <v>20</v>
      </c>
      <c r="F22" s="4" t="s">
        <v>41</v>
      </c>
      <c r="G22" s="4" t="s">
        <v>29</v>
      </c>
      <c r="H22" s="6" t="n">
        <v>1020</v>
      </c>
      <c r="I22" s="6" t="n">
        <v>8</v>
      </c>
      <c r="J22" s="6" t="n">
        <v>410</v>
      </c>
      <c r="K22" s="7" t="n">
        <f aca="false">H22+I22+J22</f>
        <v>1438</v>
      </c>
      <c r="L22" s="4" t="s">
        <v>23</v>
      </c>
      <c r="M22" s="4" t="n">
        <v>4</v>
      </c>
      <c r="N22" s="7" t="n">
        <f aca="false">SUMIFS(Tarifas!$D$2:$D$15,Tarifas!$A$2:$A$15,D22,Tarifas!$B$2:$B$15,E22,Tarifas!$C$2:$C$15,G22)</f>
        <v>1100</v>
      </c>
      <c r="O22" s="8" t="str">
        <f aca="false">IF(M22&gt;3,"REVISAR","OK")</f>
        <v>REVISAR</v>
      </c>
    </row>
    <row r="23" customFormat="false" ht="15" hidden="false" customHeight="false" outlineLevel="0" collapsed="false">
      <c r="A23" s="4" t="s">
        <v>61</v>
      </c>
      <c r="B23" s="5" t="n">
        <v>46268</v>
      </c>
      <c r="C23" s="4" t="s">
        <v>39</v>
      </c>
      <c r="D23" s="4" t="s">
        <v>62</v>
      </c>
      <c r="E23" s="4" t="s">
        <v>26</v>
      </c>
      <c r="F23" s="4" t="s">
        <v>48</v>
      </c>
      <c r="G23" s="4" t="s">
        <v>29</v>
      </c>
      <c r="H23" s="6" t="n">
        <v>1620</v>
      </c>
      <c r="I23" s="6" t="n">
        <v>13</v>
      </c>
      <c r="J23" s="6" t="n">
        <v>130</v>
      </c>
      <c r="K23" s="7" t="n">
        <f aca="false">H23+I23+J23</f>
        <v>1763</v>
      </c>
      <c r="L23" s="4" t="s">
        <v>34</v>
      </c>
      <c r="M23" s="4" t="n">
        <v>1</v>
      </c>
      <c r="N23" s="7" t="n">
        <f aca="false">SUMIFS(Tarifas!$D$2:$D$15,Tarifas!$A$2:$A$15,D23,Tarifas!$B$2:$B$15,E23,Tarifas!$C$2:$C$15,G23)</f>
        <v>1600</v>
      </c>
      <c r="O23" s="8" t="str">
        <f aca="false">IF(M23&gt;3,"REVISAR","OK")</f>
        <v>OK</v>
      </c>
    </row>
    <row r="24" customFormat="false" ht="15" hidden="false" customHeight="false" outlineLevel="0" collapsed="false">
      <c r="A24" s="4" t="s">
        <v>63</v>
      </c>
      <c r="B24" s="5" t="n">
        <v>46272</v>
      </c>
      <c r="C24" s="4" t="s">
        <v>25</v>
      </c>
      <c r="D24" s="4" t="s">
        <v>26</v>
      </c>
      <c r="E24" s="4" t="s">
        <v>27</v>
      </c>
      <c r="F24" s="4" t="s">
        <v>28</v>
      </c>
      <c r="G24" s="4" t="s">
        <v>29</v>
      </c>
      <c r="H24" s="6" t="n">
        <v>1750</v>
      </c>
      <c r="I24" s="6" t="n">
        <v>9</v>
      </c>
      <c r="J24" s="6" t="n">
        <v>420</v>
      </c>
      <c r="K24" s="7" t="n">
        <f aca="false">H24+I24+J24</f>
        <v>2179</v>
      </c>
      <c r="L24" s="4" t="s">
        <v>34</v>
      </c>
      <c r="M24" s="4" t="n">
        <v>1</v>
      </c>
      <c r="N24" s="7" t="n">
        <f aca="false">SUMIFS(Tarifas!$D$2:$D$15,Tarifas!$A$2:$A$15,D24,Tarifas!$B$2:$B$15,E24,Tarifas!$C$2:$C$15,G24)</f>
        <v>1780</v>
      </c>
      <c r="O24" s="8" t="str">
        <f aca="false">IF(M24&gt;3,"REVISAR","OK")</f>
        <v>OK</v>
      </c>
    </row>
    <row r="25" customFormat="false" ht="15" hidden="false" customHeight="false" outlineLevel="0" collapsed="false">
      <c r="A25" s="4" t="s">
        <v>64</v>
      </c>
      <c r="B25" s="5" t="n">
        <v>46274</v>
      </c>
      <c r="C25" s="4" t="s">
        <v>25</v>
      </c>
      <c r="D25" s="4" t="s">
        <v>19</v>
      </c>
      <c r="E25" s="4" t="s">
        <v>20</v>
      </c>
      <c r="F25" s="4" t="s">
        <v>28</v>
      </c>
      <c r="G25" s="4" t="s">
        <v>22</v>
      </c>
      <c r="H25" s="6" t="n">
        <v>1870</v>
      </c>
      <c r="I25" s="6" t="n">
        <v>15</v>
      </c>
      <c r="J25" s="6" t="n">
        <v>200</v>
      </c>
      <c r="K25" s="7" t="n">
        <f aca="false">H25+I25+J25</f>
        <v>2085</v>
      </c>
      <c r="L25" s="4" t="s">
        <v>46</v>
      </c>
      <c r="M25" s="4" t="n">
        <v>7</v>
      </c>
      <c r="N25" s="7" t="n">
        <f aca="false">SUMIFS(Tarifas!$D$2:$D$15,Tarifas!$A$2:$A$15,D25,Tarifas!$B$2:$B$15,E25,Tarifas!$C$2:$C$15,G25)</f>
        <v>1750</v>
      </c>
      <c r="O25" s="8" t="str">
        <f aca="false">IF(M25&gt;3,"REVISAR","OK")</f>
        <v>REVISAR</v>
      </c>
    </row>
    <row r="26" customFormat="false" ht="15" hidden="false" customHeight="false" outlineLevel="0" collapsed="false">
      <c r="A26" s="4" t="s">
        <v>65</v>
      </c>
      <c r="B26" s="5" t="n">
        <v>46276</v>
      </c>
      <c r="C26" s="4" t="s">
        <v>43</v>
      </c>
      <c r="D26" s="4" t="s">
        <v>26</v>
      </c>
      <c r="E26" s="4" t="s">
        <v>27</v>
      </c>
      <c r="F26" s="4" t="s">
        <v>48</v>
      </c>
      <c r="G26" s="4" t="s">
        <v>22</v>
      </c>
      <c r="H26" s="6" t="n">
        <v>2790</v>
      </c>
      <c r="I26" s="6" t="n">
        <v>15</v>
      </c>
      <c r="J26" s="6" t="n">
        <v>90</v>
      </c>
      <c r="K26" s="7" t="n">
        <f aca="false">H26+I26+J26</f>
        <v>2895</v>
      </c>
      <c r="L26" s="4" t="s">
        <v>46</v>
      </c>
      <c r="M26" s="4" t="n">
        <v>6</v>
      </c>
      <c r="N26" s="7" t="n">
        <f aca="false">SUMIFS(Tarifas!$D$2:$D$15,Tarifas!$A$2:$A$15,D26,Tarifas!$B$2:$B$15,E26,Tarifas!$C$2:$C$15,G26)</f>
        <v>2750</v>
      </c>
      <c r="O26" s="8" t="str">
        <f aca="false">IF(M26&gt;3,"REVISAR","OK")</f>
        <v>REVISAR</v>
      </c>
    </row>
    <row r="27" customFormat="false" ht="15" hidden="false" customHeight="false" outlineLevel="0" collapsed="false">
      <c r="A27" s="4" t="s">
        <v>66</v>
      </c>
      <c r="B27" s="5" t="n">
        <v>46278</v>
      </c>
      <c r="C27" s="4" t="s">
        <v>18</v>
      </c>
      <c r="D27" s="4" t="s">
        <v>26</v>
      </c>
      <c r="E27" s="4" t="s">
        <v>27</v>
      </c>
      <c r="F27" s="4" t="s">
        <v>48</v>
      </c>
      <c r="G27" s="4" t="s">
        <v>22</v>
      </c>
      <c r="H27" s="6" t="n">
        <v>2870</v>
      </c>
      <c r="I27" s="6" t="n">
        <v>22</v>
      </c>
      <c r="J27" s="6" t="n">
        <v>360</v>
      </c>
      <c r="K27" s="7" t="n">
        <f aca="false">H27+I27+J27</f>
        <v>3252</v>
      </c>
      <c r="L27" s="4" t="s">
        <v>46</v>
      </c>
      <c r="M27" s="4" t="n">
        <v>9</v>
      </c>
      <c r="N27" s="7" t="n">
        <f aca="false">SUMIFS(Tarifas!$D$2:$D$15,Tarifas!$A$2:$A$15,D27,Tarifas!$B$2:$B$15,E27,Tarifas!$C$2:$C$15,G27)</f>
        <v>2750</v>
      </c>
      <c r="O27" s="8" t="str">
        <f aca="false">IF(M27&gt;3,"REVISAR","OK")</f>
        <v>REVISAR</v>
      </c>
    </row>
    <row r="28" customFormat="false" ht="15" hidden="false" customHeight="false" outlineLevel="0" collapsed="false">
      <c r="A28" s="4" t="s">
        <v>67</v>
      </c>
      <c r="B28" s="5" t="n">
        <v>46278</v>
      </c>
      <c r="C28" s="4" t="s">
        <v>39</v>
      </c>
      <c r="D28" s="4" t="s">
        <v>26</v>
      </c>
      <c r="E28" s="4" t="s">
        <v>40</v>
      </c>
      <c r="F28" s="4" t="s">
        <v>33</v>
      </c>
      <c r="G28" s="4" t="s">
        <v>22</v>
      </c>
      <c r="H28" s="6" t="n">
        <v>2780</v>
      </c>
      <c r="I28" s="6" t="n">
        <v>14</v>
      </c>
      <c r="J28" s="6" t="n">
        <v>200</v>
      </c>
      <c r="K28" s="7" t="n">
        <f aca="false">H28+I28+J28</f>
        <v>2994</v>
      </c>
      <c r="L28" s="4" t="s">
        <v>23</v>
      </c>
      <c r="M28" s="4" t="n">
        <v>1</v>
      </c>
      <c r="N28" s="7" t="n">
        <f aca="false">SUMIFS(Tarifas!$D$2:$D$15,Tarifas!$A$2:$A$15,D28,Tarifas!$B$2:$B$15,E28,Tarifas!$C$2:$C$15,G28)</f>
        <v>2900</v>
      </c>
      <c r="O28" s="8" t="str">
        <f aca="false">IF(M28&gt;3,"REVISAR","OK")</f>
        <v>OK</v>
      </c>
    </row>
    <row r="29" customFormat="false" ht="15" hidden="false" customHeight="false" outlineLevel="0" collapsed="false">
      <c r="A29" s="4" t="s">
        <v>68</v>
      </c>
      <c r="B29" s="5" t="n">
        <v>46284</v>
      </c>
      <c r="C29" s="4" t="s">
        <v>25</v>
      </c>
      <c r="D29" s="4" t="s">
        <v>62</v>
      </c>
      <c r="E29" s="4" t="s">
        <v>26</v>
      </c>
      <c r="F29" s="4" t="s">
        <v>41</v>
      </c>
      <c r="G29" s="4" t="s">
        <v>22</v>
      </c>
      <c r="H29" s="6" t="n">
        <v>2300</v>
      </c>
      <c r="I29" s="6" t="n">
        <v>18</v>
      </c>
      <c r="J29" s="6" t="n">
        <v>300</v>
      </c>
      <c r="K29" s="7" t="n">
        <f aca="false">H29+I29+J29</f>
        <v>2618</v>
      </c>
      <c r="L29" s="4" t="s">
        <v>34</v>
      </c>
      <c r="M29" s="4" t="n">
        <v>0</v>
      </c>
      <c r="N29" s="7" t="n">
        <f aca="false">SUMIFS(Tarifas!$D$2:$D$15,Tarifas!$A$2:$A$15,D29,Tarifas!$B$2:$B$15,E29,Tarifas!$C$2:$C$15,G29)</f>
        <v>2500</v>
      </c>
      <c r="O29" s="8" t="str">
        <f aca="false">IF(M29&gt;3,"REVISAR","OK")</f>
        <v>OK</v>
      </c>
    </row>
    <row r="30" customFormat="false" ht="15" hidden="false" customHeight="false" outlineLevel="0" collapsed="false">
      <c r="A30" s="4" t="s">
        <v>69</v>
      </c>
      <c r="B30" s="5" t="n">
        <v>46284</v>
      </c>
      <c r="C30" s="4" t="s">
        <v>25</v>
      </c>
      <c r="D30" s="4" t="s">
        <v>31</v>
      </c>
      <c r="E30" s="4" t="s">
        <v>37</v>
      </c>
      <c r="F30" s="4" t="s">
        <v>48</v>
      </c>
      <c r="G30" s="4" t="s">
        <v>29</v>
      </c>
      <c r="H30" s="6" t="n">
        <v>1010</v>
      </c>
      <c r="I30" s="6" t="n">
        <v>7</v>
      </c>
      <c r="J30" s="6" t="n">
        <v>380</v>
      </c>
      <c r="K30" s="7" t="n">
        <f aca="false">H30+I30+J30</f>
        <v>1397</v>
      </c>
      <c r="L30" s="4" t="s">
        <v>46</v>
      </c>
      <c r="M30" s="4" t="n">
        <v>7</v>
      </c>
      <c r="N30" s="7" t="n">
        <f aca="false">SUMIFS(Tarifas!$D$2:$D$15,Tarifas!$A$2:$A$15,D30,Tarifas!$B$2:$B$15,E30,Tarifas!$C$2:$C$15,G30)</f>
        <v>950</v>
      </c>
      <c r="O30" s="8" t="str">
        <f aca="false">IF(M30&gt;3,"REVISAR","OK")</f>
        <v>REVISAR</v>
      </c>
    </row>
    <row r="31" customFormat="false" ht="15" hidden="false" customHeight="false" outlineLevel="0" collapsed="false">
      <c r="A31" s="4" t="s">
        <v>70</v>
      </c>
      <c r="B31" s="5" t="n">
        <v>46287</v>
      </c>
      <c r="C31" s="4" t="s">
        <v>71</v>
      </c>
      <c r="D31" s="4" t="s">
        <v>26</v>
      </c>
      <c r="E31" s="4" t="s">
        <v>40</v>
      </c>
      <c r="F31" s="4" t="s">
        <v>28</v>
      </c>
      <c r="G31" s="4" t="s">
        <v>22</v>
      </c>
      <c r="H31" s="6" t="n">
        <v>3090</v>
      </c>
      <c r="I31" s="6" t="n">
        <v>24</v>
      </c>
      <c r="J31" s="6" t="n">
        <v>330</v>
      </c>
      <c r="K31" s="7" t="n">
        <f aca="false">H31+I31+J31</f>
        <v>3444</v>
      </c>
      <c r="L31" s="4" t="s">
        <v>23</v>
      </c>
      <c r="M31" s="4" t="n">
        <v>4</v>
      </c>
      <c r="N31" s="7" t="n">
        <f aca="false">SUMIFS(Tarifas!$D$2:$D$15,Tarifas!$A$2:$A$15,D31,Tarifas!$B$2:$B$15,E31,Tarifas!$C$2:$C$15,G31)</f>
        <v>2900</v>
      </c>
      <c r="O31" s="8" t="str">
        <f aca="false">IF(M31&gt;3,"REVISAR","OK")</f>
        <v>REVISAR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3" t="s">
        <v>5</v>
      </c>
      <c r="B1" s="3" t="s">
        <v>6</v>
      </c>
      <c r="C1" s="3" t="s">
        <v>8</v>
      </c>
      <c r="D1" s="3" t="s">
        <v>15</v>
      </c>
    </row>
    <row r="2" customFormat="false" ht="15" hidden="false" customHeight="false" outlineLevel="0" collapsed="false">
      <c r="A2" s="4" t="s">
        <v>26</v>
      </c>
      <c r="B2" s="4" t="s">
        <v>40</v>
      </c>
      <c r="C2" s="4" t="s">
        <v>29</v>
      </c>
      <c r="D2" s="6" t="n">
        <v>1850</v>
      </c>
    </row>
    <row r="3" customFormat="false" ht="15" hidden="false" customHeight="false" outlineLevel="0" collapsed="false">
      <c r="A3" s="4" t="s">
        <v>26</v>
      </c>
      <c r="B3" s="4" t="s">
        <v>40</v>
      </c>
      <c r="C3" s="4" t="s">
        <v>22</v>
      </c>
      <c r="D3" s="6" t="n">
        <v>2900</v>
      </c>
    </row>
    <row r="4" customFormat="false" ht="15" hidden="false" customHeight="false" outlineLevel="0" collapsed="false">
      <c r="A4" s="4" t="s">
        <v>26</v>
      </c>
      <c r="B4" s="4" t="s">
        <v>27</v>
      </c>
      <c r="C4" s="4" t="s">
        <v>29</v>
      </c>
      <c r="D4" s="6" t="n">
        <v>1780</v>
      </c>
    </row>
    <row r="5" customFormat="false" ht="15" hidden="false" customHeight="false" outlineLevel="0" collapsed="false">
      <c r="A5" s="4" t="s">
        <v>26</v>
      </c>
      <c r="B5" s="4" t="s">
        <v>27</v>
      </c>
      <c r="C5" s="4" t="s">
        <v>22</v>
      </c>
      <c r="D5" s="6" t="n">
        <v>2750</v>
      </c>
    </row>
    <row r="6" customFormat="false" ht="15" hidden="false" customHeight="false" outlineLevel="0" collapsed="false">
      <c r="A6" s="4" t="s">
        <v>31</v>
      </c>
      <c r="B6" s="4" t="s">
        <v>32</v>
      </c>
      <c r="C6" s="4" t="s">
        <v>29</v>
      </c>
      <c r="D6" s="6" t="n">
        <v>2300</v>
      </c>
    </row>
    <row r="7" customFormat="false" ht="15" hidden="false" customHeight="false" outlineLevel="0" collapsed="false">
      <c r="A7" s="4" t="s">
        <v>31</v>
      </c>
      <c r="B7" s="4" t="s">
        <v>32</v>
      </c>
      <c r="C7" s="4" t="s">
        <v>22</v>
      </c>
      <c r="D7" s="6" t="n">
        <v>3650</v>
      </c>
    </row>
    <row r="8" customFormat="false" ht="15" hidden="false" customHeight="false" outlineLevel="0" collapsed="false">
      <c r="A8" s="4" t="s">
        <v>31</v>
      </c>
      <c r="B8" s="4" t="s">
        <v>37</v>
      </c>
      <c r="C8" s="4" t="s">
        <v>29</v>
      </c>
      <c r="D8" s="6" t="n">
        <v>950</v>
      </c>
    </row>
    <row r="9" customFormat="false" ht="15" hidden="false" customHeight="false" outlineLevel="0" collapsed="false">
      <c r="A9" s="4" t="s">
        <v>31</v>
      </c>
      <c r="B9" s="4" t="s">
        <v>37</v>
      </c>
      <c r="C9" s="4" t="s">
        <v>22</v>
      </c>
      <c r="D9" s="6" t="n">
        <v>1500</v>
      </c>
    </row>
    <row r="10" customFormat="false" ht="15" hidden="false" customHeight="false" outlineLevel="0" collapsed="false">
      <c r="A10" s="4" t="s">
        <v>19</v>
      </c>
      <c r="B10" s="4" t="s">
        <v>20</v>
      </c>
      <c r="C10" s="4" t="s">
        <v>29</v>
      </c>
      <c r="D10" s="6" t="n">
        <v>1100</v>
      </c>
    </row>
    <row r="11" customFormat="false" ht="15" hidden="false" customHeight="false" outlineLevel="0" collapsed="false">
      <c r="A11" s="4" t="s">
        <v>19</v>
      </c>
      <c r="B11" s="4" t="s">
        <v>20</v>
      </c>
      <c r="C11" s="4" t="s">
        <v>22</v>
      </c>
      <c r="D11" s="6" t="n">
        <v>1750</v>
      </c>
    </row>
    <row r="12" customFormat="false" ht="15" hidden="false" customHeight="false" outlineLevel="0" collapsed="false">
      <c r="A12" s="4" t="s">
        <v>32</v>
      </c>
      <c r="B12" s="4" t="s">
        <v>31</v>
      </c>
      <c r="C12" s="4" t="s">
        <v>29</v>
      </c>
      <c r="D12" s="6" t="n">
        <v>1450</v>
      </c>
    </row>
    <row r="13" customFormat="false" ht="15" hidden="false" customHeight="false" outlineLevel="0" collapsed="false">
      <c r="A13" s="4" t="s">
        <v>32</v>
      </c>
      <c r="B13" s="4" t="s">
        <v>31</v>
      </c>
      <c r="C13" s="4" t="s">
        <v>22</v>
      </c>
      <c r="D13" s="6" t="n">
        <v>2350</v>
      </c>
    </row>
    <row r="14" customFormat="false" ht="15" hidden="false" customHeight="false" outlineLevel="0" collapsed="false">
      <c r="A14" s="4" t="s">
        <v>62</v>
      </c>
      <c r="B14" s="4" t="s">
        <v>26</v>
      </c>
      <c r="C14" s="4" t="s">
        <v>29</v>
      </c>
      <c r="D14" s="6" t="n">
        <v>1600</v>
      </c>
    </row>
    <row r="15" customFormat="false" ht="15" hidden="false" customHeight="false" outlineLevel="0" collapsed="false">
      <c r="A15" s="4" t="s">
        <v>62</v>
      </c>
      <c r="B15" s="4" t="s">
        <v>26</v>
      </c>
      <c r="C15" s="4" t="s">
        <v>22</v>
      </c>
      <c r="D15" s="6" t="n">
        <v>2500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8"/>
  </cols>
  <sheetData>
    <row r="1" customFormat="false" ht="15" hidden="false" customHeight="false" outlineLevel="0" collapsed="false">
      <c r="A1" s="3" t="s">
        <v>4</v>
      </c>
      <c r="B1" s="3" t="s">
        <v>72</v>
      </c>
      <c r="C1" s="3" t="s">
        <v>73</v>
      </c>
    </row>
    <row r="2" customFormat="false" ht="15" hidden="false" customHeight="false" outlineLevel="0" collapsed="false">
      <c r="A2" s="4" t="s">
        <v>71</v>
      </c>
      <c r="B2" s="9" t="n">
        <f aca="false">SUMIF(Embarques!$C$2:$C$31,A2,Embarques!$H$2:$H$31)</f>
        <v>3090</v>
      </c>
      <c r="C2" s="9" t="n">
        <f aca="false">COUNTIF(Embarques!$C$2:$C$31,A2)</f>
        <v>1</v>
      </c>
    </row>
    <row r="3" customFormat="false" ht="15" hidden="false" customHeight="false" outlineLevel="0" collapsed="false">
      <c r="A3" s="4" t="s">
        <v>36</v>
      </c>
      <c r="B3" s="9" t="n">
        <f aca="false">SUMIF(Embarques!$C$2:$C$31,A3,Embarques!$H$2:$H$31)</f>
        <v>1950</v>
      </c>
      <c r="C3" s="9" t="n">
        <f aca="false">COUNTIF(Embarques!$C$2:$C$31,A3)</f>
        <v>2</v>
      </c>
    </row>
    <row r="4" customFormat="false" ht="15" hidden="false" customHeight="false" outlineLevel="0" collapsed="false">
      <c r="A4" s="4" t="s">
        <v>18</v>
      </c>
      <c r="B4" s="9" t="n">
        <f aca="false">SUMIF(Embarques!$C$2:$C$31,A4,Embarques!$H$2:$H$31)</f>
        <v>6680</v>
      </c>
      <c r="C4" s="9" t="n">
        <f aca="false">COUNTIF(Embarques!$C$2:$C$31,A4)</f>
        <v>3</v>
      </c>
    </row>
    <row r="5" customFormat="false" ht="15" hidden="false" customHeight="false" outlineLevel="0" collapsed="false">
      <c r="A5" s="4" t="s">
        <v>43</v>
      </c>
      <c r="B5" s="9" t="n">
        <f aca="false">SUMIF(Embarques!$C$2:$C$31,A5,Embarques!$H$2:$H$31)</f>
        <v>14350</v>
      </c>
      <c r="C5" s="9" t="n">
        <f aca="false">COUNTIF(Embarques!$C$2:$C$31,A5)</f>
        <v>5</v>
      </c>
    </row>
    <row r="6" customFormat="false" ht="15" hidden="false" customHeight="false" outlineLevel="0" collapsed="false">
      <c r="A6" s="4" t="s">
        <v>39</v>
      </c>
      <c r="B6" s="9" t="n">
        <f aca="false">SUMIF(Embarques!$C$2:$C$31,A6,Embarques!$H$2:$H$31)</f>
        <v>14990</v>
      </c>
      <c r="C6" s="9" t="n">
        <f aca="false">COUNTIF(Embarques!$C$2:$C$31,A6)</f>
        <v>8</v>
      </c>
    </row>
    <row r="7" customFormat="false" ht="15" hidden="false" customHeight="false" outlineLevel="0" collapsed="false">
      <c r="A7" s="4" t="s">
        <v>25</v>
      </c>
      <c r="B7" s="9" t="n">
        <f aca="false">SUMIF(Embarques!$C$2:$C$31,A7,Embarques!$H$2:$H$31)</f>
        <v>24360</v>
      </c>
      <c r="C7" s="9" t="n">
        <f aca="false">COUNTIF(Embarques!$C$2:$C$31,A7)</f>
        <v>11</v>
      </c>
    </row>
    <row r="8" customFormat="false" ht="15" hidden="false" customHeight="false" outlineLevel="0" collapsed="false">
      <c r="A8" s="10" t="s">
        <v>74</v>
      </c>
      <c r="B8" s="9" t="n">
        <f aca="false">SUM(B2:B7)</f>
        <v>65420</v>
      </c>
      <c r="C8" s="9" t="n">
        <f aca="false">SUM(C2:C7)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2026-10-18T00:49:09Z</dcterms:created>
  <dc:creator>openpyxl</dc:creator>
  <dc:description/>
  <dc:language>en-US</dc:language>
  <cp:lastModifiedBy/>
  <dcterms:modified xsi:type="dcterms:W3CDTF">2026-10-18T00:49:10Z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