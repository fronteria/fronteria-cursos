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Datos limpi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<sst xmlns="http://schemas.openxmlformats.org/spreadsheetml/2006/main" count="116" uniqueCount="31">
  <si>
    <t xml:space="preserve">CLAVE DEL INSTRUCTOR: Ejercicio 8</t>
  </si>
  <si>
    <t xml:space="preserve">Tabla limpia que debería obtenerse a partir de 02_Datos_Desordenados.xlsx. Tiene 24 embarques únicos: el archivo desordenado trae 3 filas repetidas y 2 filas vacías.</t>
  </si>
  <si>
    <t xml:space="preserve">Control: total de valor y número de embarques por cliente (ver hoja Datos limpios, columnas I a K).</t>
  </si>
  <si>
    <t xml:space="preserve">Fecha</t>
  </si>
  <si>
    <t xml:space="preserve">Cliente</t>
  </si>
  <si>
    <t xml:space="preserve">Puerto origen</t>
  </si>
  <si>
    <t xml:space="preserve">País</t>
  </si>
  <si>
    <t xml:space="preserve">Contenedor (pies)</t>
  </si>
  <si>
    <t xml:space="preserve">Valor USD</t>
  </si>
  <si>
    <t xml:space="preserve">Estado</t>
  </si>
  <si>
    <t xml:space="preserve">Embarques</t>
  </si>
  <si>
    <t xml:space="preserve">Plásticos Andinos S.A.</t>
  </si>
  <si>
    <t xml:space="preserve">Cartagena</t>
  </si>
  <si>
    <t xml:space="preserve">Colombia</t>
  </si>
  <si>
    <t xml:space="preserve">Entregado</t>
  </si>
  <si>
    <t xml:space="preserve">Textiles del Pacífico S.A.S.</t>
  </si>
  <si>
    <t xml:space="preserve">Buenaventura</t>
  </si>
  <si>
    <t xml:space="preserve">Retrasado</t>
  </si>
  <si>
    <t xml:space="preserve">Café Selecto de Nariño Ltda.</t>
  </si>
  <si>
    <t xml:space="preserve">Agroexport Valle S.A.S.</t>
  </si>
  <si>
    <t xml:space="preserve">Shanghái</t>
  </si>
  <si>
    <t xml:space="preserve">China</t>
  </si>
  <si>
    <t xml:space="preserve">Importadora Cordillera S.A.S.</t>
  </si>
  <si>
    <t xml:space="preserve">Muebles Altamira S.A.S.</t>
  </si>
  <si>
    <t xml:space="preserve">En tránsito</t>
  </si>
  <si>
    <t xml:space="preserve">Hamburgo</t>
  </si>
  <si>
    <t xml:space="preserve">Alemania</t>
  </si>
  <si>
    <t xml:space="preserve">Barranquilla</t>
  </si>
  <si>
    <t xml:space="preserve">TOTAL</t>
  </si>
  <si>
    <t xml:space="preserve">Callao</t>
  </si>
  <si>
    <t xml:space="preserve">Perú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</si>
</sst>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3"/>
    <col collapsed="false" customWidth="true" hidden="false" outlineLevel="0" max="9" min="9" style="0" width="32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/>
      <c r="I1" s="3" t="s">
        <v>4</v>
      </c>
      <c r="J1" s="3" t="s">
        <v>8</v>
      </c>
      <c r="K1" s="3" t="s">
        <v>10</v>
      </c>
    </row>
    <row r="2" customFormat="false" ht="15" hidden="false" customHeight="false" outlineLevel="0" collapsed="false">
      <c r="A2" s="4" t="n">
        <v>46279</v>
      </c>
      <c r="B2" s="5" t="s">
        <v>11</v>
      </c>
      <c r="C2" s="5" t="s">
        <v>12</v>
      </c>
      <c r="D2" s="5" t="s">
        <v>13</v>
      </c>
      <c r="E2" s="5" t="n">
        <v>40</v>
      </c>
      <c r="F2" s="6" t="n">
        <v>5105</v>
      </c>
      <c r="G2" s="5" t="s">
        <v>14</v>
      </c>
      <c r="I2" s="7" t="s">
        <v>15</v>
      </c>
      <c r="J2" s="8" t="n">
        <f aca="false">SUMIF($B$2:$B$25,I2,$F$2:$F$25)</f>
        <v>29730</v>
      </c>
      <c r="K2" s="9" t="n">
        <f aca="false">COUNTIF($B$2:$B$25,I2)</f>
        <v>7</v>
      </c>
    </row>
    <row r="3" customFormat="false" ht="15" hidden="false" customHeight="false" outlineLevel="0" collapsed="false">
      <c r="A3" s="4" t="n">
        <v>46280</v>
      </c>
      <c r="B3" s="5" t="s">
        <v>11</v>
      </c>
      <c r="C3" s="5" t="s">
        <v>16</v>
      </c>
      <c r="D3" s="5" t="s">
        <v>13</v>
      </c>
      <c r="E3" s="5" t="n">
        <v>20</v>
      </c>
      <c r="F3" s="6" t="n">
        <v>5380</v>
      </c>
      <c r="G3" s="5" t="s">
        <v>17</v>
      </c>
      <c r="I3" s="7" t="s">
        <v>18</v>
      </c>
      <c r="J3" s="8" t="n">
        <f aca="false">SUMIF($B$2:$B$25,I3,$F$2:$F$25)</f>
        <v>20585</v>
      </c>
      <c r="K3" s="9" t="n">
        <f aca="false">COUNTIF($B$2:$B$25,I3)</f>
        <v>5</v>
      </c>
    </row>
    <row r="4" customFormat="false" ht="15" hidden="false" customHeight="false" outlineLevel="0" collapsed="false">
      <c r="A4" s="4" t="n">
        <v>46281</v>
      </c>
      <c r="B4" s="5" t="s">
        <v>19</v>
      </c>
      <c r="C4" s="5" t="s">
        <v>20</v>
      </c>
      <c r="D4" s="5" t="s">
        <v>21</v>
      </c>
      <c r="E4" s="5" t="n">
        <v>20</v>
      </c>
      <c r="F4" s="6" t="n">
        <v>8770</v>
      </c>
      <c r="G4" s="5" t="s">
        <v>17</v>
      </c>
      <c r="I4" s="7" t="s">
        <v>22</v>
      </c>
      <c r="J4" s="8" t="n">
        <f aca="false">SUMIF($B$2:$B$25,I4,$F$2:$F$25)</f>
        <v>14850</v>
      </c>
      <c r="K4" s="9" t="n">
        <f aca="false">COUNTIF($B$2:$B$25,I4)</f>
        <v>3</v>
      </c>
    </row>
    <row r="5" customFormat="false" ht="15" hidden="false" customHeight="false" outlineLevel="0" collapsed="false">
      <c r="A5" s="4" t="n">
        <v>46282</v>
      </c>
      <c r="B5" s="5" t="s">
        <v>23</v>
      </c>
      <c r="C5" s="5" t="s">
        <v>12</v>
      </c>
      <c r="D5" s="5" t="s">
        <v>13</v>
      </c>
      <c r="E5" s="5" t="n">
        <v>20</v>
      </c>
      <c r="F5" s="6" t="n">
        <v>1410</v>
      </c>
      <c r="G5" s="5" t="s">
        <v>24</v>
      </c>
      <c r="I5" s="7" t="s">
        <v>11</v>
      </c>
      <c r="J5" s="8" t="n">
        <f aca="false">SUMIF($B$2:$B$25,I5,$F$2:$F$25)</f>
        <v>34375</v>
      </c>
      <c r="K5" s="9" t="n">
        <f aca="false">COUNTIF($B$2:$B$25,I5)</f>
        <v>5</v>
      </c>
    </row>
    <row r="6" customFormat="false" ht="15" hidden="false" customHeight="false" outlineLevel="0" collapsed="false">
      <c r="A6" s="4" t="n">
        <v>46283</v>
      </c>
      <c r="B6" s="5" t="s">
        <v>15</v>
      </c>
      <c r="C6" s="5" t="s">
        <v>25</v>
      </c>
      <c r="D6" s="5" t="s">
        <v>26</v>
      </c>
      <c r="E6" s="5" t="n">
        <v>20</v>
      </c>
      <c r="F6" s="6" t="n">
        <v>9465</v>
      </c>
      <c r="G6" s="5" t="s">
        <v>24</v>
      </c>
      <c r="I6" s="7" t="s">
        <v>19</v>
      </c>
      <c r="J6" s="8" t="n">
        <f aca="false">SUMIF($B$2:$B$25,I6,$F$2:$F$25)</f>
        <v>10285</v>
      </c>
      <c r="K6" s="9" t="n">
        <f aca="false">COUNTIF($B$2:$B$25,I6)</f>
        <v>2</v>
      </c>
    </row>
    <row r="7" customFormat="false" ht="15" hidden="false" customHeight="false" outlineLevel="0" collapsed="false">
      <c r="A7" s="4" t="n">
        <v>46283</v>
      </c>
      <c r="B7" s="5" t="s">
        <v>11</v>
      </c>
      <c r="C7" s="5" t="s">
        <v>20</v>
      </c>
      <c r="D7" s="5" t="s">
        <v>21</v>
      </c>
      <c r="E7" s="5" t="n">
        <v>40</v>
      </c>
      <c r="F7" s="6" t="n">
        <v>5095</v>
      </c>
      <c r="G7" s="5" t="s">
        <v>14</v>
      </c>
      <c r="I7" s="7" t="s">
        <v>23</v>
      </c>
      <c r="J7" s="8" t="n">
        <f aca="false">SUMIF($B$2:$B$25,I7,$F$2:$F$25)</f>
        <v>2255</v>
      </c>
      <c r="K7" s="9" t="n">
        <f aca="false">COUNTIF($B$2:$B$25,I7)</f>
        <v>2</v>
      </c>
    </row>
    <row r="8" customFormat="false" ht="15" hidden="false" customHeight="false" outlineLevel="0" collapsed="false">
      <c r="A8" s="4" t="n">
        <v>46284</v>
      </c>
      <c r="B8" s="5" t="s">
        <v>19</v>
      </c>
      <c r="C8" s="5" t="s">
        <v>27</v>
      </c>
      <c r="D8" s="5" t="s">
        <v>13</v>
      </c>
      <c r="E8" s="5" t="n">
        <v>20</v>
      </c>
      <c r="F8" s="6" t="n">
        <v>1515</v>
      </c>
      <c r="G8" s="5" t="s">
        <v>17</v>
      </c>
      <c r="I8" s="10" t="s">
        <v>28</v>
      </c>
      <c r="J8" s="8" t="n">
        <f aca="false">SUM(J2:J7)</f>
        <v>112080</v>
      </c>
      <c r="K8" s="9" t="n">
        <f aca="false">SUM(K2:K7)</f>
        <v>24</v>
      </c>
    </row>
    <row r="9" customFormat="false" ht="15" hidden="false" customHeight="false" outlineLevel="0" collapsed="false">
      <c r="A9" s="4" t="n">
        <v>46287</v>
      </c>
      <c r="B9" s="5" t="s">
        <v>15</v>
      </c>
      <c r="C9" s="5" t="s">
        <v>25</v>
      </c>
      <c r="D9" s="5" t="s">
        <v>26</v>
      </c>
      <c r="E9" s="5" t="n">
        <v>20</v>
      </c>
      <c r="F9" s="6" t="n">
        <v>2175</v>
      </c>
      <c r="G9" s="5" t="s">
        <v>14</v>
      </c>
    </row>
    <row r="10" customFormat="false" ht="15" hidden="false" customHeight="false" outlineLevel="0" collapsed="false">
      <c r="A10" s="4" t="n">
        <v>46290</v>
      </c>
      <c r="B10" s="5" t="s">
        <v>15</v>
      </c>
      <c r="C10" s="5" t="s">
        <v>27</v>
      </c>
      <c r="D10" s="5" t="s">
        <v>13</v>
      </c>
      <c r="E10" s="5" t="n">
        <v>40</v>
      </c>
      <c r="F10" s="6" t="n">
        <v>1000</v>
      </c>
      <c r="G10" s="5" t="s">
        <v>14</v>
      </c>
    </row>
    <row r="11" customFormat="false" ht="15" hidden="false" customHeight="false" outlineLevel="0" collapsed="false">
      <c r="A11" s="4" t="n">
        <v>46292</v>
      </c>
      <c r="B11" s="5" t="s">
        <v>18</v>
      </c>
      <c r="C11" s="5" t="s">
        <v>16</v>
      </c>
      <c r="D11" s="5" t="s">
        <v>13</v>
      </c>
      <c r="E11" s="5" t="n">
        <v>20</v>
      </c>
      <c r="F11" s="6" t="n">
        <v>8765</v>
      </c>
      <c r="G11" s="5" t="s">
        <v>24</v>
      </c>
    </row>
    <row r="12" customFormat="false" ht="15" hidden="false" customHeight="false" outlineLevel="0" collapsed="false">
      <c r="A12" s="4" t="n">
        <v>46292</v>
      </c>
      <c r="B12" s="5" t="s">
        <v>23</v>
      </c>
      <c r="C12" s="5" t="s">
        <v>27</v>
      </c>
      <c r="D12" s="5" t="s">
        <v>13</v>
      </c>
      <c r="E12" s="5" t="n">
        <v>40</v>
      </c>
      <c r="F12" s="6" t="n">
        <v>845</v>
      </c>
      <c r="G12" s="5" t="s">
        <v>17</v>
      </c>
    </row>
    <row r="13" customFormat="false" ht="15" hidden="false" customHeight="false" outlineLevel="0" collapsed="false">
      <c r="A13" s="4" t="n">
        <v>46292</v>
      </c>
      <c r="B13" s="5" t="s">
        <v>15</v>
      </c>
      <c r="C13" s="5" t="s">
        <v>25</v>
      </c>
      <c r="D13" s="5" t="s">
        <v>26</v>
      </c>
      <c r="E13" s="5" t="n">
        <v>40</v>
      </c>
      <c r="F13" s="6" t="n">
        <v>4965</v>
      </c>
      <c r="G13" s="5" t="s">
        <v>17</v>
      </c>
    </row>
    <row r="14" customFormat="false" ht="15" hidden="false" customHeight="false" outlineLevel="0" collapsed="false">
      <c r="A14" s="4" t="n">
        <v>46292</v>
      </c>
      <c r="B14" s="5" t="s">
        <v>22</v>
      </c>
      <c r="C14" s="5" t="s">
        <v>27</v>
      </c>
      <c r="D14" s="5" t="s">
        <v>13</v>
      </c>
      <c r="E14" s="5" t="n">
        <v>20</v>
      </c>
      <c r="F14" s="6" t="n">
        <v>3985</v>
      </c>
      <c r="G14" s="5" t="s">
        <v>24</v>
      </c>
    </row>
    <row r="15" customFormat="false" ht="15" hidden="false" customHeight="false" outlineLevel="0" collapsed="false">
      <c r="A15" s="4" t="n">
        <v>46293</v>
      </c>
      <c r="B15" s="5" t="s">
        <v>15</v>
      </c>
      <c r="C15" s="5" t="s">
        <v>16</v>
      </c>
      <c r="D15" s="5" t="s">
        <v>13</v>
      </c>
      <c r="E15" s="5" t="n">
        <v>20</v>
      </c>
      <c r="F15" s="6" t="n">
        <v>1335</v>
      </c>
      <c r="G15" s="5" t="s">
        <v>24</v>
      </c>
    </row>
    <row r="16" customFormat="false" ht="15" hidden="false" customHeight="false" outlineLevel="0" collapsed="false">
      <c r="A16" s="4" t="n">
        <v>46294</v>
      </c>
      <c r="B16" s="5" t="s">
        <v>15</v>
      </c>
      <c r="C16" s="5" t="s">
        <v>20</v>
      </c>
      <c r="D16" s="5" t="s">
        <v>21</v>
      </c>
      <c r="E16" s="5" t="n">
        <v>40</v>
      </c>
      <c r="F16" s="6" t="n">
        <v>4025</v>
      </c>
      <c r="G16" s="5" t="s">
        <v>14</v>
      </c>
    </row>
    <row r="17" customFormat="false" ht="15" hidden="false" customHeight="false" outlineLevel="0" collapsed="false">
      <c r="A17" s="4" t="n">
        <v>46294</v>
      </c>
      <c r="B17" s="5" t="s">
        <v>11</v>
      </c>
      <c r="C17" s="5" t="s">
        <v>12</v>
      </c>
      <c r="D17" s="5" t="s">
        <v>13</v>
      </c>
      <c r="E17" s="5" t="n">
        <v>20</v>
      </c>
      <c r="F17" s="6" t="n">
        <v>9475</v>
      </c>
      <c r="G17" s="5" t="s">
        <v>17</v>
      </c>
    </row>
    <row r="18" customFormat="false" ht="15" hidden="false" customHeight="false" outlineLevel="0" collapsed="false">
      <c r="A18" s="4" t="n">
        <v>46295</v>
      </c>
      <c r="B18" s="5" t="s">
        <v>22</v>
      </c>
      <c r="C18" s="5" t="s">
        <v>25</v>
      </c>
      <c r="D18" s="5" t="s">
        <v>26</v>
      </c>
      <c r="E18" s="5" t="n">
        <v>20</v>
      </c>
      <c r="F18" s="6" t="n">
        <v>6115</v>
      </c>
      <c r="G18" s="5" t="s">
        <v>14</v>
      </c>
    </row>
    <row r="19" customFormat="false" ht="15" hidden="false" customHeight="false" outlineLevel="0" collapsed="false">
      <c r="A19" s="4" t="n">
        <v>46295</v>
      </c>
      <c r="B19" s="5" t="s">
        <v>18</v>
      </c>
      <c r="C19" s="5" t="s">
        <v>20</v>
      </c>
      <c r="D19" s="5" t="s">
        <v>21</v>
      </c>
      <c r="E19" s="5" t="n">
        <v>20</v>
      </c>
      <c r="F19" s="6" t="n">
        <v>5090</v>
      </c>
      <c r="G19" s="5" t="s">
        <v>17</v>
      </c>
    </row>
    <row r="20" customFormat="false" ht="15" hidden="false" customHeight="false" outlineLevel="0" collapsed="false">
      <c r="A20" s="4" t="n">
        <v>46308</v>
      </c>
      <c r="B20" s="5" t="s">
        <v>22</v>
      </c>
      <c r="C20" s="5" t="s">
        <v>29</v>
      </c>
      <c r="D20" s="5" t="s">
        <v>30</v>
      </c>
      <c r="E20" s="5" t="n">
        <v>40</v>
      </c>
      <c r="F20" s="6" t="n">
        <v>4750</v>
      </c>
      <c r="G20" s="5" t="s">
        <v>14</v>
      </c>
    </row>
    <row r="21" customFormat="false" ht="15" hidden="false" customHeight="false" outlineLevel="0" collapsed="false">
      <c r="A21" s="4" t="n">
        <v>46308</v>
      </c>
      <c r="B21" s="5" t="s">
        <v>15</v>
      </c>
      <c r="C21" s="5" t="s">
        <v>12</v>
      </c>
      <c r="D21" s="5" t="s">
        <v>13</v>
      </c>
      <c r="E21" s="5" t="n">
        <v>20</v>
      </c>
      <c r="F21" s="6" t="n">
        <v>6765</v>
      </c>
      <c r="G21" s="5" t="s">
        <v>17</v>
      </c>
    </row>
    <row r="22" customFormat="false" ht="15" hidden="false" customHeight="false" outlineLevel="0" collapsed="false">
      <c r="A22" s="4" t="n">
        <v>46308</v>
      </c>
      <c r="B22" s="5" t="s">
        <v>18</v>
      </c>
      <c r="C22" s="5" t="s">
        <v>12</v>
      </c>
      <c r="D22" s="5" t="s">
        <v>13</v>
      </c>
      <c r="E22" s="5" t="n">
        <v>40</v>
      </c>
      <c r="F22" s="6" t="n">
        <v>4605</v>
      </c>
      <c r="G22" s="5" t="s">
        <v>17</v>
      </c>
    </row>
    <row r="23" customFormat="false" ht="15" hidden="false" customHeight="false" outlineLevel="0" collapsed="false">
      <c r="A23" s="4" t="n">
        <v>46308</v>
      </c>
      <c r="B23" s="5" t="s">
        <v>11</v>
      </c>
      <c r="C23" s="5" t="s">
        <v>16</v>
      </c>
      <c r="D23" s="5" t="s">
        <v>13</v>
      </c>
      <c r="E23" s="5" t="n">
        <v>40</v>
      </c>
      <c r="F23" s="6" t="n">
        <v>9320</v>
      </c>
      <c r="G23" s="5" t="s">
        <v>17</v>
      </c>
    </row>
    <row r="24" customFormat="false" ht="15" hidden="false" customHeight="false" outlineLevel="0" collapsed="false">
      <c r="A24" s="4" t="n">
        <v>46309</v>
      </c>
      <c r="B24" s="5" t="s">
        <v>18</v>
      </c>
      <c r="C24" s="5" t="s">
        <v>25</v>
      </c>
      <c r="D24" s="5" t="s">
        <v>26</v>
      </c>
      <c r="E24" s="5" t="n">
        <v>40</v>
      </c>
      <c r="F24" s="6" t="n">
        <v>895</v>
      </c>
      <c r="G24" s="5" t="s">
        <v>17</v>
      </c>
    </row>
    <row r="25" customFormat="false" ht="15" hidden="false" customHeight="false" outlineLevel="0" collapsed="false">
      <c r="A25" s="4" t="n">
        <v>46311</v>
      </c>
      <c r="B25" s="5" t="s">
        <v>18</v>
      </c>
      <c r="C25" s="5" t="s">
        <v>25</v>
      </c>
      <c r="D25" s="5" t="s">
        <v>26</v>
      </c>
      <c r="E25" s="5" t="n">
        <v>20</v>
      </c>
      <c r="F25" s="6" t="n">
        <v>1230</v>
      </c>
      <c r="G25" s="5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2026-10-18T00:49:10Z</dcterms:created>
  <dc:creator>openpyxl</dc:creator>
  <dc:description/>
  <dc:language>en-US</dc:language>
  <cp:lastModifiedBy/>
  <dcterms:modified xsi:type="dcterms:W3CDTF">2026-10-18T00:49:10Z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